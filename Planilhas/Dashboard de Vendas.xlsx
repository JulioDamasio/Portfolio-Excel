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damasio\Downloads\"/>
    </mc:Choice>
  </mc:AlternateContent>
  <xr:revisionPtr revIDLastSave="0" documentId="13_ncr:1_{C559A734-E29D-4989-919E-089CD980FFFA}" xr6:coauthVersionLast="47" xr6:coauthVersionMax="47" xr10:uidLastSave="{00000000-0000-0000-0000-000000000000}"/>
  <bookViews>
    <workbookView xWindow="28680" yWindow="-120" windowWidth="29040" windowHeight="15720" tabRatio="70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3" l="1"/>
  <c r="E30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<sst xmlns="http://schemas.openxmlformats.org/spreadsheetml/2006/main" count="2022" uniqueCount="324">
  <si>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</si>
  <si>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</si>
  <si>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</si>
  <si>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</si>
  <si>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</si>
  <si>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</si>
  <si>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</si>
  <si>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</si>
  <si>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</si>
  <si>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</si>
  <si>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</si>
  <si>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</si>
  <si>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</si>
  <si>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</si>
  <si>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</si>
  <si>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</si>
  <si>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</si>
  <si>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</si>
  <si>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</si>
  <si>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</si>
  <si>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</si>
  <si>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</si>
  <si>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</si>
  <si>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</si>
  <si>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</si>
  <si>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</si>
  <si>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</si>
  <si>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</si>
  <si>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</si>
  <si>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</si>
  <si>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</si>
  <si>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</si>
  <si>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</si>
  <si>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</si>
  <si>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</si>
  <si>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</si>
  <si>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</si>
  <si>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</si>
  <si>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</si>
  <si>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</si>
  <si>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</si>
  <si>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</si>
  <si>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</si>
  <si>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</si>
  <si>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</si>
  <si>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</si>
  <si>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</si>
  <si>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</si>
  <si>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</si>
  <si>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</si>
  <si>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</si>
  <si>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</si>
  <si>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</si>
  <si>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</si>
  <si>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</si>
  <si>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</si>
  <si>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</si>
  <si>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</si>
  <si>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</si>
  <si>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</si>
  <si>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</si>
  <si>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</si>
  <si>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</si>
  <si>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</si>
  <si>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</si>
  <si>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</si>
  <si>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</si>
  <si>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</si>
  <si>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</si>
  <si>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</si>
  <si>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</si>
  <si>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</si>
  <si>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</si>
  <si>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</si>
  <si>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</si>
  <si>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</si>
  <si>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</si>
  <si>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</si>
  <si>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</si>
  <si>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</si>
  <si>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</si>
  <si>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</si>
  <si>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</si>
  <si>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</si>
  <si>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</si>
  <si>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</si>
  <si>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</si>
  <si>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</si>
  <si>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</si>
  <si>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</si>
  <si>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</si>
  <si>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</si>
  <si>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</si>
  <si>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</si>
  <si>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</si>
  <si>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</si>
  <si>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</si>
  <si>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</si>
  <si>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</si>
  <si>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</si>
  <si>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</si>
  <si>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</si>
  <si>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</si>
  <si>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</si>
  <si>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</si>
  <si>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</si>
  <si>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</si>
  <si>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</si>
  <si>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</si>
  <si>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</si>
  <si>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</si>
  <si>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</si>
  <si>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</si>
  <si>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</si>
  <si>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</si>
  <si>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</si>
  <si>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</si>
  <si>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</si>
  <si>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</si>
  <si>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</si>
  <si>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</si>
  <si>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</si>
  <si>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</si>
  <si>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</si>
  <si>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</si>
  <si>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</si>
  <si>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</si>
  <si>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</si>
  <si>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</si>
  <si>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</si>
  <si>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</si>
  <si>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</si>
  <si>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</si>
  <si>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</si>
  <si>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</si>
  <si>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</si>
  <si>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</si>
  <si>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</si>
  <si>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</si>
  <si>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</si>
  <si>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</si>
  <si>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</si>
  <si>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</si>
  <si>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</si>
  <si>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</si>
  <si>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</si>
  <si>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</si>
  <si>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</si>
  <si>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</si>
  <si>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</si>
  <si>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</si>
  <si>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</si>
  <si>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</si>
  <si>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</si>
  <si>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</si>
  <si>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</si>
  <si>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</si>
  <si>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</si>
  <si>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</si>
  <si>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</si>
  <si>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</si>
  <si>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</si>
  <si>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</si>
  <si>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</si>
  <si>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</si>
  <si>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</si>
  <si>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</si>
  <si>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</si>
  <si>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</si>
  <si>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</si>
  <si>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</si>
  <si>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</si>
  <si>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</si>
  <si>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</si>
  <si>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</si>
  <si>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</si>
  <si>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</si>
  <si>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</si>
  <si>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</si>
  <si>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</si>
  <si>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</si>
  <si>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</si>
  <si>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</si>
  <si>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</si>
  <si>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</si>
  <si>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</si>
  <si>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</si>
  <si>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</si>
  <si>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</si>
  <si>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</si>
  <si>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</si>
  <si>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</si>
  <si>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</si>
  <si>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</si>
  <si>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</si>
  <si>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</si>
  <si>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</si>
  <si>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</si>
  <si>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</si>
  <si>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</si>
  <si>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</si>
  <si>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</si>
  <si>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</si>
  <si>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</si>
  <si>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</si>
  <si>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</si>
  <si>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</si>
  <si>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</si>
  <si>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</si>
  <si>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</si>
  <si>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</si>
  <si>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</si>
  <si>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</si>
  <si>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</si>
  <si>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</si>
  <si>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</si>
  <si>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</si>
  <si>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</si>
  <si>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</si>
  <si>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</si>
  <si>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</si>
  <si>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</si>
  <si>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</si>
  <si>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</si>
  <si>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</si>
  <si>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</si>
  <si>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</si>
  <si>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</si>
  <si>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</si>
  <si>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</si>
  <si>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</si>
  <si>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</si>
  <si>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</si>
  <si>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</si>
  <si>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</si>
  <si>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</si>
  <si>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</si>
  <si>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</si>
  <si>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</si>
  <si>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</si>
  <si>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</si>
  <si>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</si>
  <si>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</si>
  <si>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</si>
  <si>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</si>
  <si>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</si>
  <si>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</si>
  <si>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</si>
  <si>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</si>
  <si>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</si>
  <si>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</si>
  <si>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</si>
  <si>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</si>
  <si>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</si>
  <si>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</si>
  <si>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</si>
  <si>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</si>
  <si>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</si>
  <si>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</si>
  <si>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</si>
  <si>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</si>
  <si>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</si>
  <si>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</si>
  <si>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</si>
  <si>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</si>
  <si>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</si>
  <si>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</si>
  <si>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</si>
  <si>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</si>
  <si>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</si>
  <si>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</si>
  <si>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</si>
  <si>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</si>
  <si>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</si>
  <si>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</si>
  <si>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</si>
  <si>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</si>
  <si>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</si>
  <si>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</si>
  <si>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</si>
  <si>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</si>
  <si>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</si>
  <si>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</si>
  <si>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</si>
  <si>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</si>
  <si>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</si>
  <si>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</si>
  <si>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</si>
  <si>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</si>
  <si>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</si>
  <si>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</si>
  <si>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</si>
  <si>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</si>
  <si>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</si>
  <si>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</si>
  <si>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</si>
  <si>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</si>
  <si>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</si>
  <si>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</si>
  <si>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</si>
  <si>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</si>
  <si>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</si>
  <si>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</si>
  <si>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</si>
  <si>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</si>
  <si>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</si>
  <si>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</si>
  <si>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</si>
  <si>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</si>
  <si>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</si>
  <si>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</si>
  <si>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</si>
  <si>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</si>
  <si>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</si>
  <si>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</si>
  <si>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</si>
  <si>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</si>
  <si>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renovação)</t>
    </r>
  </si>
  <si>
    <t>XBOX GAME PASS SUBSCRIPTIONS SALES</t>
  </si>
  <si>
    <t>Pergunta de negócio 3  -Total de Vendas de Assinaturas do EA Play</t>
  </si>
  <si>
    <t>Soma de EA Play Season Pass</t>
  </si>
  <si>
    <t/>
  </si>
  <si>
    <t>Pergunta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</si>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</sst>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6" tint="0.39997558519241921"/>
      <name val="Seaford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6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/>
    <xf numFmtId="0" fontId="0" fillId="8" borderId="0" xfId="0" applyFill="1"/>
    <xf numFmtId="0" fontId="6" fillId="0" borderId="2" xfId="0" applyFont="1" applyBorder="1" applyAlignment="1">
      <alignment horizontal="left"/>
    </xf>
    <xf numFmtId="0" fontId="5" fillId="6" borderId="0" xfId="0" applyFont="1" applyFill="1"/>
    <xf numFmtId="0" fontId="0" fillId="0" borderId="0" xfId="0" applyNumberFormat="1"/>
    <xf numFmtId="0" fontId="0" fillId="8" borderId="0" xfId="0" quotePrefix="1" applyFill="1"/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4CD483"/>
          <bgColor rgb="FF5BF6A8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3636D62-402F-4D5E-A4BB-4E21444AB768}">
      <tableStyleElement type="wholeTable" dxfId="1"/>
      <tableStyleElement type="headerRow" dxfId="0"/>
    </tableStyle>
  </tableStyles>
  <colors>
    <mruColors>
      <color rgb="FF5BF6A8"/>
      <color rgb="FF4CD483"/>
      <color rgb="FFEDEDED"/>
      <color rgb="FFE0E0E0"/>
      <color rgb="FF22C55E"/>
      <color rgb="FF000000"/>
      <color rgb="FFE8E6E9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de Vendas.xlsx]C̳álculos!tbl_annual_total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A-425E-BE82-E81C02ECC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0885648"/>
        <c:axId val="570886008"/>
      </c:barChart>
      <c:catAx>
        <c:axId val="57088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886008"/>
        <c:crosses val="autoZero"/>
        <c:auto val="1"/>
        <c:lblAlgn val="ctr"/>
        <c:lblOffset val="100"/>
        <c:noMultiLvlLbl val="0"/>
      </c:catAx>
      <c:valAx>
        <c:axId val="57088600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7088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15</xdr:row>
      <xdr:rowOff>0</xdr:rowOff>
    </xdr:from>
    <xdr:to>
      <xdr:col>12</xdr:col>
      <xdr:colOff>304800</xdr:colOff>
      <xdr:row>16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304800</xdr:colOff>
      <xdr:row>16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107155</xdr:colOff>
      <xdr:row>0</xdr:row>
      <xdr:rowOff>0</xdr:rowOff>
    </xdr:from>
    <xdr:to>
      <xdr:col>2</xdr:col>
      <xdr:colOff>35718</xdr:colOff>
      <xdr:row>2</xdr:row>
      <xdr:rowOff>331660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23E1D68-A2ED-47E4-A7A6-7E143F9E31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5" t="-1165" r="71947" b="1165"/>
        <a:stretch>
          <a:fillRect/>
        </a:stretch>
      </xdr:blipFill>
      <xdr:spPr>
        <a:xfrm>
          <a:off x="2012155" y="0"/>
          <a:ext cx="654844" cy="1022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121443</xdr:rowOff>
    </xdr:from>
    <xdr:to>
      <xdr:col>0</xdr:col>
      <xdr:colOff>1893095</xdr:colOff>
      <xdr:row>20</xdr:row>
      <xdr:rowOff>47624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BF614215-0D5F-4E8E-87B9-CF25CC30FC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35943"/>
              <a:ext cx="1893095" cy="28789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297656</xdr:colOff>
      <xdr:row>5</xdr:row>
      <xdr:rowOff>130968</xdr:rowOff>
    </xdr:from>
    <xdr:to>
      <xdr:col>9</xdr:col>
      <xdr:colOff>428625</xdr:colOff>
      <xdr:row>14</xdr:row>
      <xdr:rowOff>133351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D543EB4E-03C5-A3EB-4C63-B28AD4277472}"/>
            </a:ext>
          </a:extLst>
        </xdr:cNvPr>
        <xdr:cNvGrpSpPr/>
      </xdr:nvGrpSpPr>
      <xdr:grpSpPr>
        <a:xfrm>
          <a:off x="2202656" y="1845468"/>
          <a:ext cx="5107782" cy="1812133"/>
          <a:chOff x="2297905" y="1476374"/>
          <a:chExt cx="4976814" cy="1812133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76E82898-87A6-F10F-4DCF-9D202A7771AC}"/>
              </a:ext>
            </a:extLst>
          </xdr:cNvPr>
          <xdr:cNvSpPr/>
        </xdr:nvSpPr>
        <xdr:spPr>
          <a:xfrm>
            <a:off x="2297906" y="1595437"/>
            <a:ext cx="4976813" cy="1654969"/>
          </a:xfrm>
          <a:prstGeom prst="roundRect">
            <a:avLst/>
          </a:prstGeom>
          <a:solidFill>
            <a:srgbClr val="EDEDE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0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F3A166CA-78F8-48A4-A372-6667C2863749}"/>
              </a:ext>
            </a:extLst>
          </xdr:cNvPr>
          <xdr:cNvSpPr/>
        </xdr:nvSpPr>
        <xdr:spPr>
          <a:xfrm>
            <a:off x="4163524" y="2188370"/>
            <a:ext cx="2869406" cy="100250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F80FEDD-15DB-4A22-84D8-AACEBD2E129C}" type="TxLink">
              <a:rPr lang="en-US" sz="3200" b="0" i="0" u="none" strike="noStrike">
                <a:solidFill>
                  <a:schemeClr val="accent3">
                    <a:lumMod val="75000"/>
                  </a:schemeClr>
                </a:solidFill>
                <a:latin typeface="Aptos Narrow"/>
              </a:rPr>
              <a:t>R$ 600,00</a:t>
            </a:fld>
            <a:endParaRPr lang="en-US" sz="3200">
              <a:solidFill>
                <a:schemeClr val="accent3">
                  <a:lumMod val="75000"/>
                </a:schemeClr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6C336D9B-6A18-4F25-8F1D-45636F59D3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36031" y="2069307"/>
            <a:ext cx="1219200" cy="1219200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0A3C289C-1BB9-875E-9FC2-FB74FCCB1992}"/>
              </a:ext>
            </a:extLst>
          </xdr:cNvPr>
          <xdr:cNvSpPr/>
        </xdr:nvSpPr>
        <xdr:spPr>
          <a:xfrm>
            <a:off x="2297905" y="1476374"/>
            <a:ext cx="4976814" cy="619125"/>
          </a:xfrm>
          <a:prstGeom prst="round2Same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400" b="1"/>
              <a:t>TOTAL SUBSCRIPTION EA PLAY SEASON PASS</a:t>
            </a:r>
            <a:endParaRPr lang="pt-BR" sz="1100" b="1"/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10</xdr:col>
      <xdr:colOff>545305</xdr:colOff>
      <xdr:row>5</xdr:row>
      <xdr:rowOff>104774</xdr:rowOff>
    </xdr:from>
    <xdr:to>
      <xdr:col>19</xdr:col>
      <xdr:colOff>354806</xdr:colOff>
      <xdr:row>14</xdr:row>
      <xdr:rowOff>69056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91E39249-C4A4-453C-A0C2-F7BDBE89A7E0}"/>
            </a:ext>
          </a:extLst>
        </xdr:cNvPr>
        <xdr:cNvGrpSpPr/>
      </xdr:nvGrpSpPr>
      <xdr:grpSpPr>
        <a:xfrm>
          <a:off x="8034336" y="1819274"/>
          <a:ext cx="5107783" cy="1774032"/>
          <a:chOff x="2297905" y="1476374"/>
          <a:chExt cx="4976814" cy="1774032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CCFBBBE9-FE1A-1824-8E2E-0B26352B9BDB}"/>
              </a:ext>
            </a:extLst>
          </xdr:cNvPr>
          <xdr:cNvSpPr/>
        </xdr:nvSpPr>
        <xdr:spPr>
          <a:xfrm>
            <a:off x="2297906" y="1595437"/>
            <a:ext cx="4976813" cy="1654969"/>
          </a:xfrm>
          <a:prstGeom prst="roundRect">
            <a:avLst/>
          </a:prstGeom>
          <a:solidFill>
            <a:srgbClr val="EDEDE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1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2A3E6E20-C601-D0D2-C239-060C8C0D61BE}"/>
              </a:ext>
            </a:extLst>
          </xdr:cNvPr>
          <xdr:cNvSpPr/>
        </xdr:nvSpPr>
        <xdr:spPr>
          <a:xfrm>
            <a:off x="4175124" y="2235993"/>
            <a:ext cx="2869406" cy="100250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CF4A4F5-533F-4130-8449-C1437BF3DCBF}" type="TxLink">
              <a:rPr lang="en-US" sz="3200" b="0" i="0" u="none" strike="noStrike">
                <a:solidFill>
                  <a:schemeClr val="accent3">
                    <a:lumMod val="75000"/>
                  </a:schemeClr>
                </a:solidFill>
                <a:latin typeface="Aptos Narrow"/>
              </a:rPr>
              <a:t>R$ 940,00</a:t>
            </a:fld>
            <a:endParaRPr lang="en-US" sz="7200">
              <a:solidFill>
                <a:schemeClr val="accent3">
                  <a:lumMod val="75000"/>
                </a:schemeClr>
              </a:solidFill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7D8A8DDF-76A0-A7D0-0A17-93B81C91233B}"/>
              </a:ext>
            </a:extLst>
          </xdr:cNvPr>
          <xdr:cNvSpPr/>
        </xdr:nvSpPr>
        <xdr:spPr>
          <a:xfrm>
            <a:off x="2297905" y="1476374"/>
            <a:ext cx="4976814" cy="619125"/>
          </a:xfrm>
          <a:prstGeom prst="round2Same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400" b="1"/>
              <a:t>TOTAL SUBSCRIPTION MINECRAFT SEASON PASS</a:t>
            </a:r>
            <a:endParaRPr lang="pt-BR" sz="1100" b="1"/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11</xdr:col>
      <xdr:colOff>319086</xdr:colOff>
      <xdr:row>8</xdr:row>
      <xdr:rowOff>176211</xdr:rowOff>
    </xdr:from>
    <xdr:to>
      <xdr:col>14</xdr:col>
      <xdr:colOff>213593</xdr:colOff>
      <xdr:row>12</xdr:row>
      <xdr:rowOff>166687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9F806768-6D8A-BB0F-EAC5-44F12AD418BB}"/>
            </a:ext>
          </a:extLst>
        </xdr:cNvPr>
        <xdr:cNvGrpSpPr/>
      </xdr:nvGrpSpPr>
      <xdr:grpSpPr>
        <a:xfrm>
          <a:off x="8415336" y="2557461"/>
          <a:ext cx="1549476" cy="752476"/>
          <a:chOff x="7867649" y="2200274"/>
          <a:chExt cx="1549476" cy="752476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9D280BDE-BAD3-10B9-37A2-D1C2F41950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70582" y="2200274"/>
            <a:ext cx="555497" cy="609599"/>
          </a:xfrm>
          <a:prstGeom prst="rect">
            <a:avLst/>
          </a:prstGeom>
        </xdr:spPr>
      </xdr:pic>
      <xdr:pic>
        <xdr:nvPicPr>
          <xdr:cNvPr id="24" name="Gráfico 23">
            <a:extLst>
              <a:ext uri="{FF2B5EF4-FFF2-40B4-BE49-F238E27FC236}">
                <a16:creationId xmlns:a16="http://schemas.microsoft.com/office/drawing/2014/main" id="{401DC3D1-D695-8178-D350-6C32FE54C4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7867649" y="26955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283368</xdr:colOff>
      <xdr:row>15</xdr:row>
      <xdr:rowOff>164304</xdr:rowOff>
    </xdr:from>
    <xdr:to>
      <xdr:col>19</xdr:col>
      <xdr:colOff>416718</xdr:colOff>
      <xdr:row>33</xdr:row>
      <xdr:rowOff>83343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817B5CA5-1B0C-943D-C384-D752DFFE32B2}"/>
            </a:ext>
          </a:extLst>
        </xdr:cNvPr>
        <xdr:cNvGrpSpPr/>
      </xdr:nvGrpSpPr>
      <xdr:grpSpPr>
        <a:xfrm>
          <a:off x="2188368" y="3879054"/>
          <a:ext cx="11015663" cy="3348039"/>
          <a:chOff x="2152649" y="3474242"/>
          <a:chExt cx="10515601" cy="3348039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353438B6-4CBF-7076-344A-69B7B8E5AC80}"/>
              </a:ext>
            </a:extLst>
          </xdr:cNvPr>
          <xdr:cNvGrpSpPr/>
        </xdr:nvGrpSpPr>
        <xdr:grpSpPr>
          <a:xfrm>
            <a:off x="2166938" y="3512345"/>
            <a:ext cx="10489406" cy="3309936"/>
            <a:chOff x="2166938" y="1535907"/>
            <a:chExt cx="5057776" cy="2993231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5A859EBC-1B04-8614-45FD-865C6DE5A983}"/>
                </a:ext>
              </a:extLst>
            </xdr:cNvPr>
            <xdr:cNvSpPr/>
          </xdr:nvSpPr>
          <xdr:spPr>
            <a:xfrm>
              <a:off x="2166938" y="1535907"/>
              <a:ext cx="5057776" cy="2952750"/>
            </a:xfrm>
            <a:prstGeom prst="roundRect">
              <a:avLst>
                <a:gd name="adj" fmla="val 11022"/>
              </a:avLst>
            </a:prstGeom>
            <a:solidFill>
              <a:schemeClr val="bg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EBB452EB-3418-41A1-A0CD-4DF2C3EA117B}"/>
                </a:ext>
              </a:extLst>
            </xdr:cNvPr>
            <xdr:cNvGraphicFramePr>
              <a:graphicFrameLocks/>
            </xdr:cNvGraphicFramePr>
          </xdr:nvGraphicFramePr>
          <xdr:xfrm>
            <a:off x="2207124" y="1785938"/>
            <a:ext cx="499462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910F5A82-5CB8-4272-975C-5A0FCF977D36}"/>
              </a:ext>
            </a:extLst>
          </xdr:cNvPr>
          <xdr:cNvSpPr/>
        </xdr:nvSpPr>
        <xdr:spPr>
          <a:xfrm>
            <a:off x="2152649" y="3474242"/>
            <a:ext cx="10515601" cy="619125"/>
          </a:xfrm>
          <a:prstGeom prst="round2Same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400" b="1"/>
              <a:t>TOTAL SUBSCRIPTION XBOX</a:t>
            </a:r>
            <a:r>
              <a:rPr lang="pt-BR" sz="1400" b="1" baseline="0"/>
              <a:t> GAME PASS</a:t>
            </a:r>
            <a:endParaRPr lang="pt-BR" sz="1100" b="1"/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607219</xdr:colOff>
      <xdr:row>1</xdr:row>
      <xdr:rowOff>1</xdr:rowOff>
    </xdr:from>
    <xdr:to>
      <xdr:col>0</xdr:col>
      <xdr:colOff>1302544</xdr:colOff>
      <xdr:row>2</xdr:row>
      <xdr:rowOff>326232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BBFBCF49-01C0-4B25-88D1-3F3249C03C9E}"/>
            </a:ext>
          </a:extLst>
        </xdr:cNvPr>
        <xdr:cNvSpPr/>
      </xdr:nvSpPr>
      <xdr:spPr>
        <a:xfrm>
          <a:off x="607219" y="190501"/>
          <a:ext cx="695325" cy="82629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107156</xdr:colOff>
      <xdr:row>2</xdr:row>
      <xdr:rowOff>488156</xdr:rowOff>
    </xdr:from>
    <xdr:to>
      <xdr:col>0</xdr:col>
      <xdr:colOff>1833562</xdr:colOff>
      <xdr:row>4</xdr:row>
      <xdr:rowOff>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06BA5A37-F364-44C5-61AD-664AD242695C}"/>
            </a:ext>
          </a:extLst>
        </xdr:cNvPr>
        <xdr:cNvSpPr/>
      </xdr:nvSpPr>
      <xdr:spPr>
        <a:xfrm>
          <a:off x="107156" y="1047750"/>
          <a:ext cx="1726406" cy="238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&gt; Bem</a:t>
          </a:r>
          <a:r>
            <a:rPr lang="pt-BR" sz="1200" b="1" baseline="0"/>
            <a:t> v</a:t>
          </a:r>
          <a:r>
            <a:rPr lang="pt-BR" sz="1200" b="1"/>
            <a:t>inda,</a:t>
          </a:r>
          <a:r>
            <a:rPr lang="pt-BR" sz="1200" b="1" baseline="0"/>
            <a:t> Maria</a:t>
          </a:r>
          <a:endParaRPr lang="pt-BR" sz="1200" b="1"/>
        </a:p>
      </xdr:txBody>
    </xdr:sp>
    <xdr:clientData/>
  </xdr:twoCellAnchor>
  <xdr:twoCellAnchor>
    <xdr:from>
      <xdr:col>1</xdr:col>
      <xdr:colOff>333373</xdr:colOff>
      <xdr:row>3</xdr:row>
      <xdr:rowOff>95249</xdr:rowOff>
    </xdr:from>
    <xdr:to>
      <xdr:col>9</xdr:col>
      <xdr:colOff>321467</xdr:colOff>
      <xdr:row>4</xdr:row>
      <xdr:rowOff>35718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DABA56F5-775D-9837-15F9-3A4F631139B6}"/>
            </a:ext>
          </a:extLst>
        </xdr:cNvPr>
        <xdr:cNvSpPr/>
      </xdr:nvSpPr>
      <xdr:spPr>
        <a:xfrm>
          <a:off x="2238373" y="1404937"/>
          <a:ext cx="4964907" cy="25003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bg1">
                  <a:lumMod val="50000"/>
                </a:schemeClr>
              </a:solidFill>
            </a:rPr>
            <a:t>Calculation</a:t>
          </a:r>
          <a:r>
            <a:rPr lang="pt-BR" sz="1100" b="0" baseline="0">
              <a:solidFill>
                <a:schemeClr val="bg1">
                  <a:lumMod val="50000"/>
                </a:schemeClr>
              </a:solidFill>
            </a:rPr>
            <a:t> period</a:t>
          </a:r>
          <a:r>
            <a:rPr lang="pt-BR" sz="1100" b="0">
              <a:solidFill>
                <a:schemeClr val="bg1">
                  <a:lumMod val="50000"/>
                </a:schemeClr>
              </a:solidFill>
            </a:rPr>
            <a:t>: 01/01/2024 - 31/12/2024 </a:t>
          </a:r>
          <a:r>
            <a:rPr lang="pt-BR" sz="1100" b="0" baseline="0">
              <a:solidFill>
                <a:schemeClr val="bg1">
                  <a:lumMod val="50000"/>
                </a:schemeClr>
              </a:solidFill>
            </a:rPr>
            <a:t>| Update date: 10/02/2026 11:00:00</a:t>
          </a:r>
          <a:endParaRPr lang="pt-BR" sz="1100" b="0">
            <a:solidFill>
              <a:schemeClr val="bg1">
                <a:lumMod val="50000"/>
              </a:schemeClr>
            </a:solidFill>
          </a:endParaRPr>
        </a:p>
        <a:p>
          <a:pPr algn="l"/>
          <a:endParaRPr lang="pt-BR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o Cesar Damasio dos Santos (CGSO/SPO/MEC)" refreshedDate="46062.62608159722" createdVersion="8" refreshedVersion="8" minRefreshableVersion="3" recordCount="295" xr:uid="{809B1793-EE66-4F3C-B93E-F10D513C97E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108297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E8804-53FB-4750-BA03-89F873659D5D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7:C4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6ABB1-3E70-42A6-8A6A-2C11DB237BE2}" name="Tbl_Ea_seasson_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7B21E-0DF7-4FBB-A7AE-27481ECA19E1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3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E908E9C-FFC8-4B03-BA9C-96C89DC3BB00}" sourceName="Subscription Type">
  <pivotTables>
    <pivotTable tabId="3" name="tbl_annual_total"/>
    <pivotTable tabId="3" name="Tbl_Ea_seasson_pass_total"/>
    <pivotTable tabId="3" name="Tabela dinâmica2"/>
  </pivotTables>
  <data>
    <tabular pivotCacheId="161082976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6A44936-2472-4E9F-84BD-36C84E284C0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H30" sqref="H3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P17" sqref="P1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41"/>
  <sheetViews>
    <sheetView showGridLines="0" topLeftCell="A19" workbookViewId="0">
      <selection activeCell="G52" sqref="G52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8.42578125" bestFit="1" customWidth="1"/>
    <col min="5" max="5" width="30.5703125" bestFit="1" customWidth="1"/>
    <col min="6" max="6" width="6.28515625" customWidth="1"/>
    <col min="7" max="7" width="19.140625" bestFit="1" customWidth="1"/>
    <col min="8" max="8" width="27.7109375" bestFit="1" customWidth="1"/>
    <col min="9" max="9" width="5.42578125" customWidth="1"/>
    <col min="10" max="10" width="21.140625" bestFit="1" customWidth="1"/>
    <col min="11" max="12" width="35.140625" bestFit="1" customWidth="1"/>
    <col min="13" max="16" width="9.7109375" bestFit="1" customWidth="1"/>
    <col min="17" max="17" width="15.5703125" bestFit="1" customWidth="1"/>
    <col min="18" max="18" width="12.140625" bestFit="1" customWidth="1"/>
  </cols>
  <sheetData>
    <row r="2" spans="2:3" s="15" customFormat="1" x14ac:dyDescent="0.25"/>
    <row r="4" spans="2:3" x14ac:dyDescent="0.25">
      <c r="B4" t="s">
        <v>316</v>
      </c>
    </row>
    <row r="5" spans="2:3" x14ac:dyDescent="0.25">
      <c r="B5" t="s">
        <v>317</v>
      </c>
    </row>
    <row r="11" spans="2:3" x14ac:dyDescent="0.25">
      <c r="B11" s="12" t="s">
        <v>16</v>
      </c>
      <c r="C11" t="s">
        <v>24</v>
      </c>
    </row>
    <row r="13" spans="2:3" x14ac:dyDescent="0.25">
      <c r="B13" s="12" t="s">
        <v>313</v>
      </c>
      <c r="C13" t="s">
        <v>315</v>
      </c>
    </row>
    <row r="14" spans="2:3" x14ac:dyDescent="0.25">
      <c r="B14" s="13" t="s">
        <v>23</v>
      </c>
      <c r="C14" s="14">
        <v>217</v>
      </c>
    </row>
    <row r="15" spans="2:3" x14ac:dyDescent="0.25">
      <c r="B15" s="13" t="s">
        <v>19</v>
      </c>
      <c r="C15" s="14">
        <v>1537</v>
      </c>
    </row>
    <row r="16" spans="2:3" x14ac:dyDescent="0.25">
      <c r="B16" s="13" t="s">
        <v>314</v>
      </c>
      <c r="C16" s="14">
        <v>1754</v>
      </c>
    </row>
    <row r="17" spans="2:5" x14ac:dyDescent="0.25">
      <c r="B17" s="13"/>
      <c r="C17" s="14"/>
    </row>
    <row r="18" spans="2:5" x14ac:dyDescent="0.25">
      <c r="B18" s="13"/>
      <c r="C18" s="14"/>
    </row>
    <row r="19" spans="2:5" x14ac:dyDescent="0.25">
      <c r="B19" s="13"/>
      <c r="C19" s="14"/>
    </row>
    <row r="20" spans="2:5" x14ac:dyDescent="0.25">
      <c r="B20" s="13"/>
      <c r="C20" s="14"/>
    </row>
    <row r="21" spans="2:5" x14ac:dyDescent="0.25">
      <c r="B21" s="13" t="s">
        <v>319</v>
      </c>
      <c r="C21" s="14"/>
    </row>
    <row r="22" spans="2:5" x14ac:dyDescent="0.25">
      <c r="B22" s="13"/>
      <c r="C22" s="14"/>
    </row>
    <row r="24" spans="2:5" x14ac:dyDescent="0.25">
      <c r="B24" s="12" t="s">
        <v>16</v>
      </c>
      <c r="C24" t="s">
        <v>24</v>
      </c>
    </row>
    <row r="26" spans="2:5" x14ac:dyDescent="0.25">
      <c r="B26" s="12" t="s">
        <v>313</v>
      </c>
      <c r="C26" t="s">
        <v>320</v>
      </c>
    </row>
    <row r="27" spans="2:5" x14ac:dyDescent="0.25">
      <c r="B27" s="13" t="s">
        <v>22</v>
      </c>
      <c r="C27" s="19">
        <v>0</v>
      </c>
    </row>
    <row r="28" spans="2:5" x14ac:dyDescent="0.25">
      <c r="B28" s="13" t="s">
        <v>26</v>
      </c>
      <c r="C28" s="19">
        <v>0</v>
      </c>
    </row>
    <row r="29" spans="2:5" x14ac:dyDescent="0.25">
      <c r="B29" s="13" t="s">
        <v>18</v>
      </c>
      <c r="C29" s="19">
        <v>600</v>
      </c>
    </row>
    <row r="30" spans="2:5" x14ac:dyDescent="0.25">
      <c r="B30" s="13" t="s">
        <v>314</v>
      </c>
      <c r="C30" s="19">
        <v>600</v>
      </c>
      <c r="E30" s="21">
        <f>GETPIVOTDATA("EA Play Season Pass
Price",$B$26)</f>
        <v>600</v>
      </c>
    </row>
    <row r="33" spans="2:5" x14ac:dyDescent="0.25">
      <c r="B33" s="13" t="s">
        <v>322</v>
      </c>
    </row>
    <row r="35" spans="2:5" x14ac:dyDescent="0.25">
      <c r="B35" s="12" t="s">
        <v>16</v>
      </c>
      <c r="C35" t="s">
        <v>24</v>
      </c>
    </row>
    <row r="37" spans="2:5" x14ac:dyDescent="0.25">
      <c r="B37" s="12" t="s">
        <v>313</v>
      </c>
      <c r="C37" t="s">
        <v>323</v>
      </c>
    </row>
    <row r="38" spans="2:5" x14ac:dyDescent="0.25">
      <c r="B38" s="13" t="s">
        <v>22</v>
      </c>
      <c r="C38" s="14">
        <v>0</v>
      </c>
    </row>
    <row r="39" spans="2:5" x14ac:dyDescent="0.25">
      <c r="B39" s="13" t="s">
        <v>26</v>
      </c>
      <c r="C39" s="14">
        <v>540</v>
      </c>
    </row>
    <row r="40" spans="2:5" x14ac:dyDescent="0.25">
      <c r="B40" s="13" t="s">
        <v>18</v>
      </c>
      <c r="C40" s="14">
        <v>400</v>
      </c>
    </row>
    <row r="41" spans="2:5" x14ac:dyDescent="0.25">
      <c r="B41" s="13" t="s">
        <v>314</v>
      </c>
      <c r="C41" s="14">
        <v>940</v>
      </c>
      <c r="E41" s="21">
        <f>GETPIVOTDATA("Minecraft Season Pass Price",$B$37)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J596"/>
  <sheetViews>
    <sheetView showGridLines="0" tabSelected="1" zoomScale="80" zoomScaleNormal="80" workbookViewId="0">
      <selection activeCell="Y3" sqref="Y3"/>
    </sheetView>
  </sheetViews>
  <sheetFormatPr defaultRowHeight="15" x14ac:dyDescent="0.25"/>
  <cols>
    <col min="1" max="1" width="28.5703125" style="18" customWidth="1"/>
    <col min="2" max="2" width="10.85546875" customWidth="1"/>
    <col min="12" max="12" width="6.5703125" customWidth="1"/>
  </cols>
  <sheetData>
    <row r="2" spans="2:36" ht="39" customHeight="1" thickBot="1" x14ac:dyDescent="0.45">
      <c r="C2" s="17" t="s">
        <v>318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2:36" ht="48.75" customHeight="1" thickTop="1" x14ac:dyDescent="0.25"/>
    <row r="4" spans="2:36" ht="24" customHeight="1" x14ac:dyDescent="0.2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</row>
    <row r="5" spans="2:36" ht="7.5" customHeight="1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</row>
    <row r="6" spans="2:36" ht="10.5" customHeight="1" x14ac:dyDescent="0.2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</row>
    <row r="7" spans="2:36" ht="9.75" customHeight="1" x14ac:dyDescent="0.25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 spans="2:36" ht="33" customHeight="1" x14ac:dyDescent="0.2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 spans="2:36" x14ac:dyDescent="0.25">
      <c r="B9" s="16"/>
      <c r="C9" s="16"/>
      <c r="D9" s="16"/>
      <c r="E9" s="16"/>
      <c r="F9" s="16"/>
      <c r="G9" s="16"/>
      <c r="H9" s="16"/>
      <c r="I9" s="16"/>
      <c r="J9" s="20" t="s">
        <v>321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spans="2:36" x14ac:dyDescent="0.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 spans="2:36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 spans="2:36" x14ac:dyDescent="0.25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</row>
    <row r="13" spans="2:36" x14ac:dyDescent="0.2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</row>
    <row r="14" spans="2:36" x14ac:dyDescent="0.2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</row>
    <row r="15" spans="2:36" x14ac:dyDescent="0.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</row>
    <row r="16" spans="2:36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</row>
    <row r="17" spans="2:36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</row>
    <row r="18" spans="2:36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spans="2:36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</row>
    <row r="20" spans="2:36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2:36" x14ac:dyDescent="0.2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2:36" x14ac:dyDescent="0.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</row>
    <row r="23" spans="2:36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</row>
    <row r="24" spans="2:36" x14ac:dyDescent="0.2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</row>
    <row r="25" spans="2:36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</row>
    <row r="26" spans="2:36" x14ac:dyDescent="0.2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</row>
    <row r="27" spans="2:36" x14ac:dyDescent="0.2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</row>
    <row r="28" spans="2:36" x14ac:dyDescent="0.2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</row>
    <row r="29" spans="2:36" x14ac:dyDescent="0.25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  <row r="30" spans="2:36" x14ac:dyDescent="0.25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</row>
    <row r="31" spans="2:36" x14ac:dyDescent="0.2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</row>
    <row r="32" spans="2:36" x14ac:dyDescent="0.25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</row>
    <row r="33" spans="2:36" x14ac:dyDescent="0.25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</row>
    <row r="34" spans="2:36" x14ac:dyDescent="0.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</row>
    <row r="35" spans="2:36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</row>
    <row r="36" spans="2:36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</row>
    <row r="37" spans="2:36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</row>
    <row r="38" spans="2:36" x14ac:dyDescent="0.2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</row>
    <row r="39" spans="2:36" x14ac:dyDescent="0.2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 spans="2:36" x14ac:dyDescent="0.2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</row>
    <row r="41" spans="2:36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</row>
    <row r="42" spans="2:36" x14ac:dyDescent="0.2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</row>
    <row r="43" spans="2:36" x14ac:dyDescent="0.2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</row>
    <row r="44" spans="2:36" x14ac:dyDescent="0.25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</row>
    <row r="45" spans="2:36" x14ac:dyDescent="0.2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</row>
    <row r="46" spans="2:36" x14ac:dyDescent="0.25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</row>
    <row r="47" spans="2:36" x14ac:dyDescent="0.25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</row>
    <row r="48" spans="2:36" x14ac:dyDescent="0.25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</row>
    <row r="49" spans="2:36" x14ac:dyDescent="0.25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</row>
    <row r="50" spans="2:36" x14ac:dyDescent="0.2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</row>
    <row r="51" spans="2:36" x14ac:dyDescent="0.2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2:36" x14ac:dyDescent="0.25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2:36" x14ac:dyDescent="0.25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 spans="2:36" x14ac:dyDescent="0.25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spans="2:36" x14ac:dyDescent="0.2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 spans="2:36" x14ac:dyDescent="0.2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 spans="2:36" x14ac:dyDescent="0.25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 spans="2:36" x14ac:dyDescent="0.2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 spans="2:36" x14ac:dyDescent="0.25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 spans="2:36" x14ac:dyDescent="0.25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 spans="2:36" x14ac:dyDescent="0.25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 spans="2:36" x14ac:dyDescent="0.25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 spans="2:36" x14ac:dyDescent="0.25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spans="2:36" x14ac:dyDescent="0.2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spans="2:36" x14ac:dyDescent="0.2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 spans="2:36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 spans="2:36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spans="2:36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 spans="2:36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 spans="2:36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 spans="2:36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 spans="2:36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 spans="2:36" x14ac:dyDescent="0.2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 spans="2:36" x14ac:dyDescent="0.2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 spans="2:36" x14ac:dyDescent="0.2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spans="2:36" x14ac:dyDescent="0.25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 spans="2:36" x14ac:dyDescent="0.25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spans="2:36" x14ac:dyDescent="0.25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 spans="2:36" x14ac:dyDescent="0.2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 spans="2:36" x14ac:dyDescent="0.2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 spans="2:36" x14ac:dyDescent="0.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spans="2:36" x14ac:dyDescent="0.25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 spans="2:36" x14ac:dyDescent="0.25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 spans="2:36" x14ac:dyDescent="0.25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 spans="2:36" x14ac:dyDescent="0.2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 spans="2:36" x14ac:dyDescent="0.25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 spans="2:36" x14ac:dyDescent="0.25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 spans="2:36" x14ac:dyDescent="0.25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 spans="2:36" x14ac:dyDescent="0.25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 spans="2:36" x14ac:dyDescent="0.25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 spans="2:36" x14ac:dyDescent="0.25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 spans="2:36" x14ac:dyDescent="0.25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 spans="2:36" x14ac:dyDescent="0.25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 spans="2:36" x14ac:dyDescent="0.25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 spans="2:36" x14ac:dyDescent="0.2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 spans="2:36" x14ac:dyDescent="0.2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 spans="2:36" x14ac:dyDescent="0.25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 spans="2:36" x14ac:dyDescent="0.25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spans="2:36" x14ac:dyDescent="0.25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 spans="2:36" x14ac:dyDescent="0.25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spans="2:36" x14ac:dyDescent="0.25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 spans="2:36" x14ac:dyDescent="0.25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spans="2:36" x14ac:dyDescent="0.25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 spans="2:36" x14ac:dyDescent="0.25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 spans="2:36" x14ac:dyDescent="0.2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 spans="2:36" x14ac:dyDescent="0.25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 spans="2:36" x14ac:dyDescent="0.25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 spans="2:36" x14ac:dyDescent="0.25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 spans="2:36" x14ac:dyDescent="0.25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 spans="2:36" x14ac:dyDescent="0.25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 spans="2:36" x14ac:dyDescent="0.25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 spans="2:36" x14ac:dyDescent="0.25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 spans="2:36" x14ac:dyDescent="0.25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 spans="2:36" x14ac:dyDescent="0.25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spans="2:36" x14ac:dyDescent="0.2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 spans="2:36" x14ac:dyDescent="0.25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 spans="2:36" x14ac:dyDescent="0.25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spans="2:36" x14ac:dyDescent="0.25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spans="2:36" x14ac:dyDescent="0.25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spans="2:36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spans="2:36" x14ac:dyDescent="0.2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spans="2:36" x14ac:dyDescent="0.2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spans="2:36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spans="2:36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spans="2:36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spans="2:36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spans="2:36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spans="2:36" x14ac:dyDescent="0.25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spans="2:36" x14ac:dyDescent="0.25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spans="2:36" x14ac:dyDescent="0.25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spans="2:36" x14ac:dyDescent="0.25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spans="2:36" x14ac:dyDescent="0.25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spans="2:36" x14ac:dyDescent="0.25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spans="2:36" x14ac:dyDescent="0.25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spans="2:36" x14ac:dyDescent="0.2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spans="2:36" x14ac:dyDescent="0.25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spans="2:36" x14ac:dyDescent="0.25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spans="2:36" x14ac:dyDescent="0.25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spans="2:36" x14ac:dyDescent="0.25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spans="2:36" x14ac:dyDescent="0.25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spans="2:36" x14ac:dyDescent="0.25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spans="2:36" x14ac:dyDescent="0.25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spans="2:36" x14ac:dyDescent="0.25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spans="2:36" x14ac:dyDescent="0.25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spans="2:36" x14ac:dyDescent="0.2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spans="2:36" x14ac:dyDescent="0.25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spans="2:36" x14ac:dyDescent="0.25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spans="2:36" x14ac:dyDescent="0.25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spans="2:36" x14ac:dyDescent="0.25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spans="2:36" x14ac:dyDescent="0.25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spans="2:36" x14ac:dyDescent="0.25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spans="2:36" x14ac:dyDescent="0.25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spans="2:36" x14ac:dyDescent="0.25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spans="2:36" x14ac:dyDescent="0.25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spans="2:36" x14ac:dyDescent="0.2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spans="2:36" x14ac:dyDescent="0.25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spans="2:36" x14ac:dyDescent="0.25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spans="2:36" x14ac:dyDescent="0.25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spans="2:36" x14ac:dyDescent="0.25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spans="2:36" x14ac:dyDescent="0.25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spans="2:36" x14ac:dyDescent="0.25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spans="2:36" x14ac:dyDescent="0.25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spans="2:36" x14ac:dyDescent="0.25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spans="2:36" x14ac:dyDescent="0.25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spans="2:36" x14ac:dyDescent="0.2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spans="2:36" x14ac:dyDescent="0.25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spans="2:36" x14ac:dyDescent="0.25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spans="2:36" x14ac:dyDescent="0.25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spans="2:36" x14ac:dyDescent="0.25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spans="2:36" x14ac:dyDescent="0.25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spans="2:36" x14ac:dyDescent="0.25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spans="2:36" x14ac:dyDescent="0.25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spans="2:36" x14ac:dyDescent="0.25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spans="2:36" x14ac:dyDescent="0.25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spans="2:36" x14ac:dyDescent="0.2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spans="2:36" x14ac:dyDescent="0.25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spans="2:36" x14ac:dyDescent="0.25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spans="2:36" x14ac:dyDescent="0.25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spans="2:36" x14ac:dyDescent="0.25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spans="2:36" x14ac:dyDescent="0.25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spans="2:36" x14ac:dyDescent="0.25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spans="2:36" x14ac:dyDescent="0.25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spans="2:36" x14ac:dyDescent="0.25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spans="2:36" x14ac:dyDescent="0.25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spans="2:36" x14ac:dyDescent="0.2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spans="2:36" x14ac:dyDescent="0.25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spans="2:36" x14ac:dyDescent="0.25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spans="2:36" x14ac:dyDescent="0.25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spans="2:36" x14ac:dyDescent="0.25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spans="2:36" x14ac:dyDescent="0.25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spans="2:36" x14ac:dyDescent="0.25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spans="2:36" x14ac:dyDescent="0.25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spans="2:36" x14ac:dyDescent="0.25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spans="2:36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spans="2:36" x14ac:dyDescent="0.2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spans="2:36" x14ac:dyDescent="0.25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x14ac:dyDescent="0.25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x14ac:dyDescent="0.25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x14ac:dyDescent="0.25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x14ac:dyDescent="0.25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x14ac:dyDescent="0.25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x14ac:dyDescent="0.25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x14ac:dyDescent="0.25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2:36" x14ac:dyDescent="0.25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2:36" x14ac:dyDescent="0.2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2:36" x14ac:dyDescent="0.25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spans="2:36" x14ac:dyDescent="0.25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spans="2:36" x14ac:dyDescent="0.25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spans="2:36" x14ac:dyDescent="0.25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spans="2:36" x14ac:dyDescent="0.25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spans="2:36" x14ac:dyDescent="0.25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spans="2:36" x14ac:dyDescent="0.25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spans="2:36" x14ac:dyDescent="0.25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 spans="2:36" x14ac:dyDescent="0.25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 spans="2:36" x14ac:dyDescent="0.25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 spans="2:36" x14ac:dyDescent="0.25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 spans="2:36" x14ac:dyDescent="0.25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 spans="2:36" x14ac:dyDescent="0.25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 spans="2:36" x14ac:dyDescent="0.25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spans="2:36" x14ac:dyDescent="0.25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 spans="2:36" x14ac:dyDescent="0.25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 spans="2:36" x14ac:dyDescent="0.25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 spans="2:36" x14ac:dyDescent="0.25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 spans="2:36" x14ac:dyDescent="0.25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 spans="2:36" x14ac:dyDescent="0.25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 spans="2:36" x14ac:dyDescent="0.25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 spans="2:36" x14ac:dyDescent="0.25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 spans="2:36" x14ac:dyDescent="0.25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 spans="2:36" x14ac:dyDescent="0.25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 spans="2:36" x14ac:dyDescent="0.25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 spans="2:36" x14ac:dyDescent="0.25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 spans="2:36" x14ac:dyDescent="0.25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 spans="2:36" x14ac:dyDescent="0.25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 spans="2:36" x14ac:dyDescent="0.25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 spans="2:36" x14ac:dyDescent="0.25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 spans="2:36" x14ac:dyDescent="0.25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 spans="2:36" x14ac:dyDescent="0.25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 spans="2:36" x14ac:dyDescent="0.25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 spans="2:36" x14ac:dyDescent="0.25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 spans="2:36" x14ac:dyDescent="0.25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 spans="2:36" x14ac:dyDescent="0.25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 spans="2:36" x14ac:dyDescent="0.25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 spans="2:36" x14ac:dyDescent="0.25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 spans="2:36" x14ac:dyDescent="0.25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 spans="2:36" x14ac:dyDescent="0.25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 spans="2:36" x14ac:dyDescent="0.25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 spans="2:36" x14ac:dyDescent="0.25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 spans="2:36" x14ac:dyDescent="0.25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 spans="2:36" x14ac:dyDescent="0.25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 spans="2:36" x14ac:dyDescent="0.25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 spans="2:36" x14ac:dyDescent="0.25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 spans="2:36" x14ac:dyDescent="0.25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 spans="2:36" x14ac:dyDescent="0.25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 spans="2:36" x14ac:dyDescent="0.25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 spans="2:36" x14ac:dyDescent="0.25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 spans="2:36" x14ac:dyDescent="0.25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 spans="2:36" x14ac:dyDescent="0.25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 spans="2:36" x14ac:dyDescent="0.25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 spans="2:36" x14ac:dyDescent="0.25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 spans="2:36" x14ac:dyDescent="0.25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 spans="2:36" x14ac:dyDescent="0.25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 spans="2:36" x14ac:dyDescent="0.25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 spans="2:36" x14ac:dyDescent="0.25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 spans="2:36" x14ac:dyDescent="0.25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 spans="2:36" x14ac:dyDescent="0.25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 spans="2:36" x14ac:dyDescent="0.25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 spans="2:36" x14ac:dyDescent="0.25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 spans="2:36" x14ac:dyDescent="0.25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 spans="2:36" x14ac:dyDescent="0.25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 spans="2:36" x14ac:dyDescent="0.25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 spans="2:36" x14ac:dyDescent="0.25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 spans="2:36" x14ac:dyDescent="0.25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 spans="2:36" x14ac:dyDescent="0.25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 spans="2:36" x14ac:dyDescent="0.25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 spans="2:36" x14ac:dyDescent="0.25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 spans="2:36" x14ac:dyDescent="0.25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 spans="2:36" x14ac:dyDescent="0.25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 spans="2:36" x14ac:dyDescent="0.25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 spans="2:36" x14ac:dyDescent="0.25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 spans="2:36" x14ac:dyDescent="0.25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 spans="2:36" x14ac:dyDescent="0.25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 spans="2:36" x14ac:dyDescent="0.25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 spans="2:36" x14ac:dyDescent="0.25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 spans="2:36" x14ac:dyDescent="0.25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 spans="2:36" x14ac:dyDescent="0.25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 spans="2:36" x14ac:dyDescent="0.25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 spans="2:36" x14ac:dyDescent="0.25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 spans="2:36" x14ac:dyDescent="0.25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 spans="2:36" x14ac:dyDescent="0.25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 spans="2:36" x14ac:dyDescent="0.25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 spans="2:36" x14ac:dyDescent="0.25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 spans="2:36" x14ac:dyDescent="0.25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 spans="2:36" x14ac:dyDescent="0.25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 spans="2:36" x14ac:dyDescent="0.25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 spans="2:36" x14ac:dyDescent="0.25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 spans="2:36" x14ac:dyDescent="0.25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 spans="2:36" x14ac:dyDescent="0.25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 spans="2:36" x14ac:dyDescent="0.25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 spans="2:36" x14ac:dyDescent="0.25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 spans="2:36" x14ac:dyDescent="0.25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 spans="2:36" x14ac:dyDescent="0.25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 spans="2:36" x14ac:dyDescent="0.25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 spans="2:36" x14ac:dyDescent="0.25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 spans="2:36" x14ac:dyDescent="0.25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 spans="2:36" x14ac:dyDescent="0.25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 spans="2:36" x14ac:dyDescent="0.25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 spans="2:36" x14ac:dyDescent="0.25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 spans="2:36" x14ac:dyDescent="0.25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 spans="2:36" x14ac:dyDescent="0.25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 spans="2:36" x14ac:dyDescent="0.25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 spans="2:36" x14ac:dyDescent="0.25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 spans="2:36" x14ac:dyDescent="0.25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 spans="2:36" x14ac:dyDescent="0.25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 spans="2:36" x14ac:dyDescent="0.25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 spans="2:36" x14ac:dyDescent="0.25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spans="2:36" x14ac:dyDescent="0.25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 spans="2:36" x14ac:dyDescent="0.25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 spans="2:36" x14ac:dyDescent="0.25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 spans="2:36" x14ac:dyDescent="0.25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 spans="2:36" x14ac:dyDescent="0.25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 spans="2:36" x14ac:dyDescent="0.25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 spans="2:36" x14ac:dyDescent="0.25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 spans="2:36" x14ac:dyDescent="0.25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 spans="2:36" x14ac:dyDescent="0.25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 spans="2:36" x14ac:dyDescent="0.25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 spans="2:36" x14ac:dyDescent="0.25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 spans="2:36" x14ac:dyDescent="0.25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 spans="2:36" x14ac:dyDescent="0.25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 spans="2:36" x14ac:dyDescent="0.25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 spans="2:36" x14ac:dyDescent="0.25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 spans="2:36" x14ac:dyDescent="0.25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 spans="2:36" x14ac:dyDescent="0.25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 spans="2:36" x14ac:dyDescent="0.25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 spans="2:36" x14ac:dyDescent="0.25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 spans="2:36" x14ac:dyDescent="0.25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 spans="2:36" x14ac:dyDescent="0.25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 spans="2:36" x14ac:dyDescent="0.25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 spans="2:36" x14ac:dyDescent="0.25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 spans="2:36" x14ac:dyDescent="0.25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 spans="2:36" x14ac:dyDescent="0.25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 spans="2:36" x14ac:dyDescent="0.25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 spans="2:36" x14ac:dyDescent="0.25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 spans="2:36" x14ac:dyDescent="0.25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 spans="2:36" x14ac:dyDescent="0.25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 spans="2:36" x14ac:dyDescent="0.25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 spans="2:36" x14ac:dyDescent="0.25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 spans="2:36" x14ac:dyDescent="0.25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 spans="2:36" x14ac:dyDescent="0.25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 spans="2:36" x14ac:dyDescent="0.25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 spans="2:36" x14ac:dyDescent="0.25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 spans="2:36" x14ac:dyDescent="0.25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 spans="2:36" x14ac:dyDescent="0.25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 spans="2:36" x14ac:dyDescent="0.25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 spans="2:36" x14ac:dyDescent="0.25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 spans="2:36" x14ac:dyDescent="0.25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 spans="2:36" x14ac:dyDescent="0.25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 spans="2:36" x14ac:dyDescent="0.25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 spans="2:36" x14ac:dyDescent="0.25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 spans="2:36" x14ac:dyDescent="0.25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 spans="2:36" x14ac:dyDescent="0.25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 spans="2:36" x14ac:dyDescent="0.25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 spans="2:36" x14ac:dyDescent="0.25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 spans="2:36" x14ac:dyDescent="0.25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 spans="2:36" x14ac:dyDescent="0.25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 spans="2:36" x14ac:dyDescent="0.25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 spans="2:36" x14ac:dyDescent="0.25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 spans="2:36" x14ac:dyDescent="0.25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 spans="2:36" x14ac:dyDescent="0.25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 spans="2:36" x14ac:dyDescent="0.25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 spans="2:36" x14ac:dyDescent="0.25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 spans="2:36" x14ac:dyDescent="0.25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 spans="2:36" x14ac:dyDescent="0.25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 spans="2:36" x14ac:dyDescent="0.25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 spans="2:36" x14ac:dyDescent="0.25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 spans="2:36" x14ac:dyDescent="0.25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 spans="2:36" x14ac:dyDescent="0.25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 spans="2:36" x14ac:dyDescent="0.25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 spans="2:36" x14ac:dyDescent="0.25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 spans="2:36" x14ac:dyDescent="0.25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 spans="2:36" x14ac:dyDescent="0.25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 spans="2:36" x14ac:dyDescent="0.25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 spans="2:36" x14ac:dyDescent="0.25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 spans="2:36" x14ac:dyDescent="0.25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 spans="2:36" x14ac:dyDescent="0.25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 spans="2:36" x14ac:dyDescent="0.25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 spans="2:36" x14ac:dyDescent="0.25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 spans="2:36" x14ac:dyDescent="0.25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 spans="2:36" x14ac:dyDescent="0.25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 spans="2:36" x14ac:dyDescent="0.25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 spans="2:36" x14ac:dyDescent="0.25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 spans="2:36" x14ac:dyDescent="0.25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 spans="2:36" x14ac:dyDescent="0.25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 spans="2:36" x14ac:dyDescent="0.25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 spans="2:36" x14ac:dyDescent="0.25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 spans="2:36" x14ac:dyDescent="0.25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 spans="2:36" x14ac:dyDescent="0.25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 spans="2:36" x14ac:dyDescent="0.25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 spans="2:36" x14ac:dyDescent="0.25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 spans="2:36" x14ac:dyDescent="0.25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 spans="2:36" x14ac:dyDescent="0.25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 spans="2:36" x14ac:dyDescent="0.25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 spans="2:36" x14ac:dyDescent="0.25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 spans="2:36" x14ac:dyDescent="0.25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 spans="2:36" x14ac:dyDescent="0.25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 spans="2:36" x14ac:dyDescent="0.25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 spans="2:36" x14ac:dyDescent="0.25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 spans="2:36" x14ac:dyDescent="0.25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 spans="2:36" x14ac:dyDescent="0.25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 spans="2:36" x14ac:dyDescent="0.25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 spans="2:36" x14ac:dyDescent="0.25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 spans="2:36" x14ac:dyDescent="0.25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 spans="2:36" x14ac:dyDescent="0.25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 spans="2:36" x14ac:dyDescent="0.25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 spans="2:36" x14ac:dyDescent="0.25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 spans="2:36" x14ac:dyDescent="0.25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 spans="2:36" x14ac:dyDescent="0.25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 spans="2:36" x14ac:dyDescent="0.25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 spans="2:36" x14ac:dyDescent="0.25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 spans="2:36" x14ac:dyDescent="0.25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 spans="2:36" x14ac:dyDescent="0.25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 spans="2:36" x14ac:dyDescent="0.25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spans="2:36" x14ac:dyDescent="0.25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spans="2:36" x14ac:dyDescent="0.25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spans="2:36" x14ac:dyDescent="0.25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spans="2:36" x14ac:dyDescent="0.25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spans="2:36" x14ac:dyDescent="0.25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spans="2:36" x14ac:dyDescent="0.25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spans="2:36" x14ac:dyDescent="0.25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spans="2:36" x14ac:dyDescent="0.25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spans="2:36" x14ac:dyDescent="0.25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 spans="2:36" x14ac:dyDescent="0.25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 spans="2:36" x14ac:dyDescent="0.25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 spans="2:36" x14ac:dyDescent="0.25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 spans="2:36" x14ac:dyDescent="0.25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 spans="2:36" x14ac:dyDescent="0.25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 spans="2:36" x14ac:dyDescent="0.25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 spans="2:36" x14ac:dyDescent="0.25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 spans="2:36" x14ac:dyDescent="0.25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 spans="2:36" x14ac:dyDescent="0.25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 spans="2:36" x14ac:dyDescent="0.25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 spans="2:36" x14ac:dyDescent="0.25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 spans="2:36" x14ac:dyDescent="0.25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 spans="2:36" x14ac:dyDescent="0.25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 spans="2:36" x14ac:dyDescent="0.25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 spans="2:36" x14ac:dyDescent="0.25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 spans="2:36" x14ac:dyDescent="0.25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 spans="2:36" x14ac:dyDescent="0.25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 spans="2:36" x14ac:dyDescent="0.25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 spans="2:36" x14ac:dyDescent="0.25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 spans="2:36" x14ac:dyDescent="0.25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 spans="2:36" x14ac:dyDescent="0.25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 spans="2:36" x14ac:dyDescent="0.25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 spans="2:36" x14ac:dyDescent="0.25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 spans="2:36" x14ac:dyDescent="0.25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 spans="2:36" x14ac:dyDescent="0.25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 spans="2:36" x14ac:dyDescent="0.25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 spans="2:36" x14ac:dyDescent="0.25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 spans="2:36" x14ac:dyDescent="0.25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 spans="2:36" x14ac:dyDescent="0.25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 spans="2:36" x14ac:dyDescent="0.25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 spans="2:36" x14ac:dyDescent="0.25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 spans="2:36" x14ac:dyDescent="0.25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 spans="2:36" x14ac:dyDescent="0.25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 spans="2:36" x14ac:dyDescent="0.25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 spans="2:36" x14ac:dyDescent="0.25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 spans="2:36" x14ac:dyDescent="0.25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 spans="2:36" x14ac:dyDescent="0.25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 spans="2:36" x14ac:dyDescent="0.25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 spans="2:36" x14ac:dyDescent="0.25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 spans="2:36" x14ac:dyDescent="0.25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 spans="2:36" x14ac:dyDescent="0.25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 spans="2:36" x14ac:dyDescent="0.25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 spans="2:36" x14ac:dyDescent="0.25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 spans="2:36" x14ac:dyDescent="0.25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 spans="2:36" x14ac:dyDescent="0.25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 spans="2:36" x14ac:dyDescent="0.25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 spans="2:36" x14ac:dyDescent="0.25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 spans="2:36" x14ac:dyDescent="0.25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 spans="2:36" x14ac:dyDescent="0.25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 spans="2:36" x14ac:dyDescent="0.25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 spans="2:36" x14ac:dyDescent="0.25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 spans="2:36" x14ac:dyDescent="0.25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 spans="2:36" x14ac:dyDescent="0.25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 spans="2:36" x14ac:dyDescent="0.25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 spans="2:36" x14ac:dyDescent="0.25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 spans="2:36" x14ac:dyDescent="0.25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 spans="2:36" x14ac:dyDescent="0.25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 spans="2:36" x14ac:dyDescent="0.25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 spans="2:36" x14ac:dyDescent="0.25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 spans="2:36" x14ac:dyDescent="0.25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 spans="2:36" x14ac:dyDescent="0.25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 spans="2:36" x14ac:dyDescent="0.25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 spans="2:36" x14ac:dyDescent="0.25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 spans="2:36" x14ac:dyDescent="0.25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 spans="2:36" x14ac:dyDescent="0.25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 spans="2:36" x14ac:dyDescent="0.25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 spans="2:36" x14ac:dyDescent="0.25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 spans="2:36" x14ac:dyDescent="0.25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 spans="2:36" x14ac:dyDescent="0.25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 spans="2:36" x14ac:dyDescent="0.25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 spans="2:36" x14ac:dyDescent="0.25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 spans="2:36" x14ac:dyDescent="0.25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 spans="2:36" x14ac:dyDescent="0.25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 spans="2:36" x14ac:dyDescent="0.25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 spans="2:36" x14ac:dyDescent="0.25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 spans="2:36" x14ac:dyDescent="0.25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 spans="2:36" x14ac:dyDescent="0.25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 spans="2:36" x14ac:dyDescent="0.25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 spans="2:36" x14ac:dyDescent="0.25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 spans="2:36" x14ac:dyDescent="0.25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 spans="2:36" x14ac:dyDescent="0.25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 spans="2:36" x14ac:dyDescent="0.25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 spans="2:36" x14ac:dyDescent="0.25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 spans="2:36" x14ac:dyDescent="0.25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 spans="2:36" x14ac:dyDescent="0.2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 spans="2:36" x14ac:dyDescent="0.25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 spans="2:36" x14ac:dyDescent="0.25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 spans="2:36" x14ac:dyDescent="0.25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 spans="2:36" x14ac:dyDescent="0.25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 spans="2:36" x14ac:dyDescent="0.25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 spans="2:36" x14ac:dyDescent="0.25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 spans="2:36" x14ac:dyDescent="0.25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 spans="2:36" x14ac:dyDescent="0.25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 spans="2:36" x14ac:dyDescent="0.25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 spans="2:36" x14ac:dyDescent="0.25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 spans="2:36" x14ac:dyDescent="0.25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 spans="2:36" x14ac:dyDescent="0.25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 spans="2:36" x14ac:dyDescent="0.25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 spans="2:36" x14ac:dyDescent="0.25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 spans="2:36" x14ac:dyDescent="0.25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 spans="2:36" x14ac:dyDescent="0.25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 spans="2:36" x14ac:dyDescent="0.25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 spans="2:36" x14ac:dyDescent="0.25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 spans="2:36" x14ac:dyDescent="0.25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 spans="2:36" x14ac:dyDescent="0.25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spans="2:36" x14ac:dyDescent="0.25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 spans="2:36" x14ac:dyDescent="0.25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 spans="2:36" x14ac:dyDescent="0.25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 spans="2:36" x14ac:dyDescent="0.25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 spans="2:36" x14ac:dyDescent="0.25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 spans="2:36" x14ac:dyDescent="0.25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 spans="2:36" x14ac:dyDescent="0.25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 spans="2:36" x14ac:dyDescent="0.25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 spans="2:36" x14ac:dyDescent="0.25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 spans="2:36" x14ac:dyDescent="0.25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 spans="2:36" x14ac:dyDescent="0.25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 spans="2:36" x14ac:dyDescent="0.25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 spans="2:36" x14ac:dyDescent="0.25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 spans="2:36" x14ac:dyDescent="0.25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 spans="2:36" x14ac:dyDescent="0.25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 spans="2:36" x14ac:dyDescent="0.25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 spans="2:36" x14ac:dyDescent="0.25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 spans="2:36" x14ac:dyDescent="0.25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 spans="2:36" x14ac:dyDescent="0.25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 spans="2:36" x14ac:dyDescent="0.25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 spans="2:36" x14ac:dyDescent="0.25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 spans="2:36" x14ac:dyDescent="0.25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 spans="2:36" x14ac:dyDescent="0.25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 spans="2:36" x14ac:dyDescent="0.25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 spans="2:36" x14ac:dyDescent="0.25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 spans="2:36" x14ac:dyDescent="0.25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 spans="2:36" x14ac:dyDescent="0.25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 spans="2:36" x14ac:dyDescent="0.25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 spans="2:36" x14ac:dyDescent="0.25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 spans="2:36" x14ac:dyDescent="0.25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 spans="2:36" x14ac:dyDescent="0.25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 spans="2:36" x14ac:dyDescent="0.25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 spans="2:36" x14ac:dyDescent="0.25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 spans="2:36" x14ac:dyDescent="0.25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 spans="2:36" x14ac:dyDescent="0.25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 spans="2:36" x14ac:dyDescent="0.25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 spans="2:36" x14ac:dyDescent="0.25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 spans="2:36" x14ac:dyDescent="0.25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 spans="2:36" x14ac:dyDescent="0.25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 spans="2:36" x14ac:dyDescent="0.25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 spans="2:36" x14ac:dyDescent="0.25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 spans="2:36" x14ac:dyDescent="0.25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 spans="2:36" x14ac:dyDescent="0.25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 spans="2:36" x14ac:dyDescent="0.25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 spans="2:36" x14ac:dyDescent="0.25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 spans="2:36" x14ac:dyDescent="0.25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 spans="2:36" x14ac:dyDescent="0.25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 spans="2:36" x14ac:dyDescent="0.25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 spans="2:36" x14ac:dyDescent="0.25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 spans="2:36" x14ac:dyDescent="0.25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 spans="2:36" x14ac:dyDescent="0.25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 spans="2:36" x14ac:dyDescent="0.25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 spans="2:36" x14ac:dyDescent="0.25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 spans="2:36" x14ac:dyDescent="0.25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 spans="2:36" x14ac:dyDescent="0.25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 spans="2:36" x14ac:dyDescent="0.25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 spans="2:36" x14ac:dyDescent="0.25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 spans="2:36" x14ac:dyDescent="0.25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 spans="2:36" x14ac:dyDescent="0.25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 spans="2:36" x14ac:dyDescent="0.25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 spans="2:36" x14ac:dyDescent="0.25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</sheetData>
  <mergeCells count="1">
    <mergeCell ref="C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Julio Cesar Damasio dos Santos (CGSO/SPO/MEC)</cp:lastModifiedBy>
  <dcterms:created xsi:type="dcterms:W3CDTF">2024-12-19T13:13:10Z</dcterms:created>
  <dcterms:modified xsi:type="dcterms:W3CDTF">2026-02-10T14:06:14Z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