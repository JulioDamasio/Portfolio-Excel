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damasio\Desktop\"/>
    </mc:Choice>
  </mc:AlternateContent>
  <xr:revisionPtr revIDLastSave="0" documentId="13_ncr:1_{6ED3C8D5-7F1B-4044-91AC-7AC764378B48}" xr6:coauthVersionLast="47" xr6:coauthVersionMax="47" xr10:uidLastSave="{00000000-0000-0000-0000-000000000000}"/>
  <bookViews>
    <workbookView xWindow="28680" yWindow="-120" windowWidth="29040" windowHeight="15720" xr2:uid="{645E47D9-A814-4A10-B287-74F112B518AD}"/>
  </bookViews>
  <sheets>
    <sheet name="App" sheetId="1" r:id="rId1"/>
    <sheet name="Apoio" sheetId="2" r:id="rId2"/>
  </sheets>
  <definedNames>
    <definedName name="Aporte">App!$D$18</definedName>
    <definedName name="Patrimonio_Total">App!$D$21</definedName>
    <definedName name="QTDE_Anos">App!$D$19</definedName>
    <definedName name="Rendimento_Carteira">App!$D$14</definedName>
    <definedName name="Salario">App!$D$13</definedName>
    <definedName name="Sugestao">App!$D$15</definedName>
    <definedName name="Taxa_Mensal">App!$D$20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9" i="2"/>
  <c r="A10" i="2"/>
  <c r="A11" i="2"/>
  <c r="A12" i="2"/>
  <c r="A13" i="2"/>
  <c r="A14" i="2"/>
  <c r="A15" i="2"/>
  <c r="A16" i="2"/>
  <c r="A17" i="2"/>
  <c r="A18" i="2"/>
  <c r="A19" i="2"/>
  <c r="A8" i="2"/>
  <c r="A3" i="2"/>
  <c r="A4" i="2"/>
  <c r="A5" i="2"/>
  <c r="A6" i="2"/>
  <c r="A7" i="2"/>
  <c r="A2" i="2"/>
  <c r="C33" i="1"/>
  <c r="D21" i="1"/>
  <c r="D22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D15" i="1"/>
  <c r="D36" i="1" l="1"/>
  <c r="D41" i="1"/>
  <c r="D40" i="1"/>
  <c r="D38" i="1"/>
  <c r="D39" i="1"/>
  <c r="D37" i="1"/>
  <c r="D42" i="1"/>
</calcChain>
</file>

<file path=xl/sharedStrings.xml><?xml version="1.0" encoding="utf-8"?>
<sst xmlns="http://schemas.openxmlformats.org/spreadsheetml/2006/main" count="70" uniqueCount="35">
  <si>
    <t>Quanto investir por mês?</t>
  </si>
  <si>
    <t>Por quantos anos?</t>
  </si>
  <si>
    <t>Taxa de rendimento mensal?</t>
  </si>
  <si>
    <t>Dividendos mensais?</t>
  </si>
  <si>
    <t>Patrimônio acumulado?</t>
  </si>
  <si>
    <t>Investimento Mensal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</si>
  <si>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</si>
  <si>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</si>
  <si>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</si>
  <si>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</si>
  <si>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</si>
  <si>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</si>
  <si>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</si>
  <si>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Quanto em 35 Anos?</t>
  </si>
  <si>
    <t>Configurações</t>
  </si>
  <si>
    <t>Salário</t>
  </si>
  <si>
    <t>Rendimento Carteira</t>
  </si>
  <si>
    <t>Sugestão de Investimento</t>
  </si>
  <si>
    <t>Perfil</t>
  </si>
  <si>
    <t>Agressivo</t>
  </si>
  <si>
    <t>Conservador</t>
  </si>
  <si>
    <t>Moderado</t>
  </si>
  <si>
    <t>Valor a ser investido por mês</t>
  </si>
  <si>
    <t>Tipos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</si>
  <si>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</si>
  <si>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</si>
  <si>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</si>
  <si>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</si>
  <si>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</si>
  <si>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</si>
  <si>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</si>
  <si>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</si>
  <si>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Tipo de FII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</si>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</sst>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59">
    <xf numFmtId="0" fontId="0" fillId="0" borderId="0" xfId="0"/>
    <xf numFmtId="0" fontId="0" fillId="0" borderId="4" xfId="0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0" xfId="0" applyAlignment="1"/>
    <xf numFmtId="0" fontId="5" fillId="0" borderId="0" xfId="0" applyFont="1"/>
    <xf numFmtId="9" fontId="0" fillId="0" borderId="0" xfId="0" applyNumberFormat="1"/>
    <xf numFmtId="0" fontId="2" fillId="2" borderId="17" xfId="0" applyFont="1" applyFill="1" applyBorder="1" applyAlignment="1">
      <alignment horizontal="left" vertical="center"/>
    </xf>
    <xf numFmtId="8" fontId="4" fillId="3" borderId="4" xfId="0" applyNumberFormat="1" applyFont="1" applyFill="1" applyBorder="1" applyAlignment="1">
      <alignment horizontal="center"/>
    </xf>
    <xf numFmtId="8" fontId="4" fillId="3" borderId="6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vertical="center"/>
    </xf>
    <xf numFmtId="0" fontId="7" fillId="0" borderId="3" xfId="0" applyFont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8" fontId="0" fillId="6" borderId="4" xfId="0" applyNumberFormat="1" applyFill="1" applyBorder="1" applyAlignment="1">
      <alignment horizontal="center"/>
    </xf>
    <xf numFmtId="10" fontId="0" fillId="6" borderId="4" xfId="0" applyNumberFormat="1" applyFill="1" applyBorder="1" applyAlignment="1">
      <alignment horizont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8" fontId="0" fillId="0" borderId="4" xfId="1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vertical="center"/>
    </xf>
    <xf numFmtId="165" fontId="0" fillId="7" borderId="6" xfId="0" applyNumberForma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0" borderId="0" xfId="0" applyFont="1" applyFill="1" applyBorder="1"/>
    <xf numFmtId="0" fontId="3" fillId="4" borderId="0" xfId="2" applyBorder="1" applyAlignment="1"/>
    <xf numFmtId="0" fontId="3" fillId="4" borderId="0" xfId="2" applyBorder="1" applyAlignment="1">
      <alignment horizontal="center"/>
    </xf>
    <xf numFmtId="165" fontId="0" fillId="0" borderId="0" xfId="0" applyNumberFormat="1" applyAlignment="1">
      <alignment horizontal="center"/>
    </xf>
    <xf numFmtId="0" fontId="7" fillId="7" borderId="10" xfId="0" applyFont="1" applyFill="1" applyBorder="1"/>
    <xf numFmtId="8" fontId="0" fillId="7" borderId="11" xfId="0" applyNumberFormat="1" applyFill="1" applyBorder="1" applyAlignment="1">
      <alignment horizontal="center"/>
    </xf>
    <xf numFmtId="8" fontId="0" fillId="7" borderId="12" xfId="0" applyNumberFormat="1" applyFill="1" applyBorder="1" applyAlignment="1">
      <alignment horizontal="center"/>
    </xf>
    <xf numFmtId="0" fontId="7" fillId="7" borderId="3" xfId="0" applyFont="1" applyFill="1" applyBorder="1"/>
    <xf numFmtId="8" fontId="0" fillId="7" borderId="13" xfId="0" applyNumberFormat="1" applyFill="1" applyBorder="1" applyAlignment="1">
      <alignment horizontal="center"/>
    </xf>
    <xf numFmtId="8" fontId="0" fillId="7" borderId="14" xfId="0" applyNumberFormat="1" applyFill="1" applyBorder="1" applyAlignment="1">
      <alignment horizontal="center"/>
    </xf>
    <xf numFmtId="0" fontId="7" fillId="7" borderId="5" xfId="0" applyFont="1" applyFill="1" applyBorder="1"/>
    <xf numFmtId="8" fontId="0" fillId="7" borderId="15" xfId="0" applyNumberFormat="1" applyFill="1" applyBorder="1" applyAlignment="1">
      <alignment horizontal="center"/>
    </xf>
    <xf numFmtId="8" fontId="0" fillId="7" borderId="16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165" fontId="0" fillId="8" borderId="4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165" fontId="0" fillId="8" borderId="2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165" fontId="0" fillId="8" borderId="6" xfId="0" applyNumberFormat="1" applyFill="1" applyBorder="1" applyAlignment="1">
      <alignment horizontal="center"/>
    </xf>
    <xf numFmtId="0" fontId="0" fillId="7" borderId="17" xfId="0" applyFill="1" applyBorder="1"/>
    <xf numFmtId="0" fontId="0" fillId="7" borderId="22" xfId="0" applyFill="1" applyBorder="1"/>
    <xf numFmtId="165" fontId="0" fillId="7" borderId="18" xfId="0" applyNumberFormat="1" applyFill="1" applyBorder="1" applyAlignment="1">
      <alignment horizontal="center"/>
    </xf>
    <xf numFmtId="0" fontId="6" fillId="5" borderId="21" xfId="0" applyFont="1" applyFill="1" applyBorder="1" applyAlignment="1">
      <alignment vertic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B-431D-BEBF-43FF78BEA8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pxhere.com/pt/photo/1349794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114300</xdr:rowOff>
    </xdr:from>
    <xdr:to>
      <xdr:col>4</xdr:col>
      <xdr:colOff>0</xdr:colOff>
      <xdr:row>9</xdr:row>
      <xdr:rowOff>142875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AF079DD-1BD6-9BAD-1BD6-B28762873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42901" y="114300"/>
          <a:ext cx="6162674" cy="1743075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42</xdr:row>
      <xdr:rowOff>185737</xdr:rowOff>
    </xdr:from>
    <xdr:to>
      <xdr:col>4</xdr:col>
      <xdr:colOff>9525</xdr:colOff>
      <xdr:row>57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F80955-0CA8-29AB-C777-3FE90D941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B5A9-1ABC-471D-8E28-C3BF5530317E}">
  <dimension ref="A11:XFD64"/>
  <sheetViews>
    <sheetView showGridLines="0" tabSelected="1" topLeftCell="A17" zoomScaleNormal="100" workbookViewId="0">
      <selection activeCell="C32" sqref="C32"/>
    </sheetView>
  </sheetViews>
  <sheetFormatPr defaultColWidth="0" defaultRowHeight="15" x14ac:dyDescent="0.25"/>
  <cols>
    <col min="1" max="1" width="5.140625" customWidth="1"/>
    <col min="2" max="2" width="36.85546875" customWidth="1"/>
    <col min="3" max="3" width="36.42578125" customWidth="1"/>
    <col min="4" max="4" width="19.140625" customWidth="1"/>
    <col min="5" max="5" width="3.7109375" customWidth="1"/>
    <col min="6" max="6" width="4.28515625" customWidth="1"/>
    <col min="7" max="7" width="9.140625" customWidth="1"/>
    <col min="8" max="16378" width="9.140625" hidden="1"/>
    <col min="16379" max="16379" width="9.42578125" hidden="1" customWidth="1"/>
    <col min="16380" max="16380" width="2.140625" hidden="1" customWidth="1"/>
    <col min="16381" max="16381" width="6" hidden="1" customWidth="1"/>
    <col min="16382" max="16384" width="7" hidden="1" customWidth="1"/>
  </cols>
  <sheetData>
    <row r="11" spans="2:4" ht="13.5" customHeight="1" thickBot="1" x14ac:dyDescent="0.3"/>
    <row r="12" spans="2:4" ht="23.25" customHeight="1" x14ac:dyDescent="0.25">
      <c r="B12" s="17" t="s">
        <v>14</v>
      </c>
      <c r="C12" s="18"/>
      <c r="D12" s="58"/>
    </row>
    <row r="13" spans="2:4" ht="15" customHeight="1" x14ac:dyDescent="0.25">
      <c r="B13" s="13" t="s">
        <v>15</v>
      </c>
      <c r="C13" s="14"/>
      <c r="D13" s="15">
        <v>5554.46</v>
      </c>
    </row>
    <row r="14" spans="2:4" ht="18.75" customHeight="1" x14ac:dyDescent="0.25">
      <c r="B14" s="13" t="s">
        <v>16</v>
      </c>
      <c r="C14" s="14"/>
      <c r="D14" s="16">
        <v>1.0200000000000001E-2</v>
      </c>
    </row>
    <row r="15" spans="2:4" ht="18.75" customHeight="1" thickBot="1" x14ac:dyDescent="0.3">
      <c r="B15" s="31" t="s">
        <v>17</v>
      </c>
      <c r="C15" s="32"/>
      <c r="D15" s="30">
        <f>D13*10%</f>
        <v>555.44600000000003</v>
      </c>
    </row>
    <row r="16" spans="2:4" ht="11.25" customHeight="1" thickBot="1" x14ac:dyDescent="0.3"/>
    <row r="17" spans="1:5" ht="27" customHeight="1" x14ac:dyDescent="0.25">
      <c r="B17" s="27" t="s">
        <v>5</v>
      </c>
      <c r="C17" s="28"/>
      <c r="D17" s="29"/>
    </row>
    <row r="18" spans="1:5" ht="15.75" x14ac:dyDescent="0.25">
      <c r="B18" s="10" t="s">
        <v>0</v>
      </c>
      <c r="C18" s="23"/>
      <c r="D18" s="24">
        <v>500</v>
      </c>
    </row>
    <row r="19" spans="1:5" ht="15.75" x14ac:dyDescent="0.25">
      <c r="B19" s="10" t="s">
        <v>1</v>
      </c>
      <c r="C19" s="23"/>
      <c r="D19" s="1">
        <v>8</v>
      </c>
    </row>
    <row r="20" spans="1:5" ht="15.75" x14ac:dyDescent="0.25">
      <c r="B20" s="10" t="s">
        <v>2</v>
      </c>
      <c r="C20" s="23"/>
      <c r="D20" s="2">
        <v>1.0800000000000001E-2</v>
      </c>
    </row>
    <row r="21" spans="1:5" ht="15.75" x14ac:dyDescent="0.25">
      <c r="B21" s="11" t="s">
        <v>4</v>
      </c>
      <c r="C21" s="25"/>
      <c r="D21" s="7">
        <f>FV(Taxa_Mensal,QTDE_Anos*12,Aporte*-1)</f>
        <v>83543.743713681484</v>
      </c>
    </row>
    <row r="22" spans="1:5" ht="16.5" thickBot="1" x14ac:dyDescent="0.3">
      <c r="B22" s="12" t="s">
        <v>3</v>
      </c>
      <c r="C22" s="26"/>
      <c r="D22" s="8">
        <f>Patrimonio_Total*Rendimento_Carteira</f>
        <v>852.14618587955124</v>
      </c>
    </row>
    <row r="23" spans="1:5" ht="11.25" customHeight="1" thickBot="1" x14ac:dyDescent="0.3"/>
    <row r="24" spans="1:5" ht="27" thickBot="1" x14ac:dyDescent="0.3">
      <c r="B24" s="6" t="s">
        <v>6</v>
      </c>
      <c r="C24" s="22"/>
      <c r="D24" s="9" t="s">
        <v>7</v>
      </c>
    </row>
    <row r="25" spans="1:5" ht="15.75" x14ac:dyDescent="0.25">
      <c r="A25" s="4">
        <v>2</v>
      </c>
      <c r="B25" s="37" t="s">
        <v>8</v>
      </c>
      <c r="C25" s="38">
        <f>FV(Taxa_Mensal,A25*12,Aporte*-1)</f>
        <v>13615.431830290796</v>
      </c>
      <c r="D25" s="39">
        <f>C25*Rendimento_Carteira</f>
        <v>138.87740466896614</v>
      </c>
    </row>
    <row r="26" spans="1:5" ht="15.75" x14ac:dyDescent="0.25">
      <c r="A26" s="4">
        <v>5</v>
      </c>
      <c r="B26" s="40" t="s">
        <v>9</v>
      </c>
      <c r="C26" s="41">
        <f>FV(Taxa_Mensal,A26*12,Aporte*-1)</f>
        <v>41902.00967962922</v>
      </c>
      <c r="D26" s="42">
        <f>C26*Rendimento_Carteira</f>
        <v>427.40049873221807</v>
      </c>
    </row>
    <row r="27" spans="1:5" ht="15.75" x14ac:dyDescent="0.25">
      <c r="A27" s="4">
        <v>10</v>
      </c>
      <c r="B27" s="40" t="s">
        <v>10</v>
      </c>
      <c r="C27" s="41">
        <f>FV(Taxa_Mensal,A27*12,Aporte*-1)</f>
        <v>121728.83312740005</v>
      </c>
      <c r="D27" s="42">
        <f>C27*Rendimento_Carteira</f>
        <v>1241.6340978994806</v>
      </c>
    </row>
    <row r="28" spans="1:5" ht="15.75" x14ac:dyDescent="0.25">
      <c r="A28" s="4">
        <v>20</v>
      </c>
      <c r="B28" s="40" t="s">
        <v>11</v>
      </c>
      <c r="C28" s="41">
        <f>FV(Taxa_Mensal,A28*12,Aporte*-1)</f>
        <v>563524.49664926168</v>
      </c>
      <c r="D28" s="42">
        <f>C28*Rendimento_Carteira</f>
        <v>5747.9498658224693</v>
      </c>
    </row>
    <row r="29" spans="1:5" ht="15.75" x14ac:dyDescent="0.25">
      <c r="A29" s="4">
        <v>30</v>
      </c>
      <c r="B29" s="40" t="s">
        <v>12</v>
      </c>
      <c r="C29" s="41">
        <f>FV(Taxa_Mensal,A29*12,Aporte*-1)</f>
        <v>2166952.4051583759</v>
      </c>
      <c r="D29" s="42">
        <f>C29*Rendimento_Carteira</f>
        <v>22102.914532615436</v>
      </c>
    </row>
    <row r="30" spans="1:5" ht="16.5" thickBot="1" x14ac:dyDescent="0.3">
      <c r="A30" s="4">
        <v>35</v>
      </c>
      <c r="B30" s="43" t="s">
        <v>13</v>
      </c>
      <c r="C30" s="44">
        <f>FV(Taxa_Mensal,A30*12,Aporte*-1)</f>
        <v>4170127.0850128331</v>
      </c>
      <c r="D30" s="45">
        <f>C30*Rendimento_Carteira</f>
        <v>42535.2962671309</v>
      </c>
    </row>
    <row r="31" spans="1:5" x14ac:dyDescent="0.25">
      <c r="D31" s="3"/>
      <c r="E31" s="3"/>
    </row>
    <row r="32" spans="1:5" x14ac:dyDescent="0.25">
      <c r="B32" s="34" t="s">
        <v>18</v>
      </c>
      <c r="C32" s="35" t="s">
        <v>20</v>
      </c>
      <c r="D32" s="34"/>
      <c r="E32" s="3"/>
    </row>
    <row r="33" spans="2:4" ht="15.75" x14ac:dyDescent="0.25">
      <c r="B33" s="33" t="s">
        <v>22</v>
      </c>
      <c r="C33" s="36">
        <f>Aporte</f>
        <v>500</v>
      </c>
    </row>
    <row r="34" spans="2:4" ht="15.75" thickBot="1" x14ac:dyDescent="0.3"/>
    <row r="35" spans="2:4" ht="27" thickBot="1" x14ac:dyDescent="0.3">
      <c r="B35" s="19" t="s">
        <v>23</v>
      </c>
      <c r="C35" s="21" t="s">
        <v>24</v>
      </c>
      <c r="D35" s="20" t="s">
        <v>25</v>
      </c>
    </row>
    <row r="36" spans="2:4" x14ac:dyDescent="0.25">
      <c r="B36" s="49" t="s">
        <v>26</v>
      </c>
      <c r="C36" s="50">
        <f>_xlfn.XLOOKUP($C$32&amp;"-"&amp;B36,Apoio!A:A,Apoio!D:D)</f>
        <v>0.3</v>
      </c>
      <c r="D36" s="51">
        <f>C36*$C$33</f>
        <v>150</v>
      </c>
    </row>
    <row r="37" spans="2:4" x14ac:dyDescent="0.25">
      <c r="B37" s="46" t="s">
        <v>27</v>
      </c>
      <c r="C37" s="47">
        <f>_xlfn.XLOOKUP($C$32&amp;"-"&amp;B37,Apoio!A:A,Apoio!D:D)</f>
        <v>0.5</v>
      </c>
      <c r="D37" s="48">
        <f>C37*$C$33</f>
        <v>250</v>
      </c>
    </row>
    <row r="38" spans="2:4" x14ac:dyDescent="0.25">
      <c r="B38" s="46" t="s">
        <v>28</v>
      </c>
      <c r="C38" s="47">
        <f>_xlfn.XLOOKUP($C$32&amp;"-"&amp;B38,Apoio!A:A,Apoio!D:D)</f>
        <v>0.1</v>
      </c>
      <c r="D38" s="48">
        <f>C38*$C$33</f>
        <v>50</v>
      </c>
    </row>
    <row r="39" spans="2:4" x14ac:dyDescent="0.25">
      <c r="B39" s="46" t="s">
        <v>29</v>
      </c>
      <c r="C39" s="47">
        <f>_xlfn.XLOOKUP($C$32&amp;"-"&amp;B39,Apoio!A:A,Apoio!D:D)</f>
        <v>0.1</v>
      </c>
      <c r="D39" s="48">
        <f>C39*$C$33</f>
        <v>50</v>
      </c>
    </row>
    <row r="40" spans="2:4" x14ac:dyDescent="0.25">
      <c r="B40" s="46" t="s">
        <v>30</v>
      </c>
      <c r="C40" s="47">
        <f>_xlfn.XLOOKUP($C$32&amp;"-"&amp;B40,Apoio!A:A,Apoio!D:D)</f>
        <v>0</v>
      </c>
      <c r="D40" s="48">
        <f>C40*$C$33</f>
        <v>0</v>
      </c>
    </row>
    <row r="41" spans="2:4" ht="15.75" thickBot="1" x14ac:dyDescent="0.3">
      <c r="B41" s="52" t="s">
        <v>31</v>
      </c>
      <c r="C41" s="53">
        <f>_xlfn.XLOOKUP($C$32&amp;"-"&amp;B41,Apoio!A:A,Apoio!D:D)</f>
        <v>0</v>
      </c>
      <c r="D41" s="54">
        <f>C41*$C$33</f>
        <v>0</v>
      </c>
    </row>
    <row r="42" spans="2:4" ht="15.75" thickBot="1" x14ac:dyDescent="0.3">
      <c r="B42" s="55"/>
      <c r="C42" s="56"/>
      <c r="D42" s="57">
        <f>SUM(D36:D41)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11">
    <mergeCell ref="B12:C12"/>
    <mergeCell ref="B13:C13"/>
    <mergeCell ref="B14:C14"/>
    <mergeCell ref="B15:C15"/>
    <mergeCell ref="B18:C18"/>
    <mergeCell ref="B19:C19"/>
    <mergeCell ref="B17:C17"/>
    <mergeCell ref="B24:C24"/>
    <mergeCell ref="B20:C20"/>
    <mergeCell ref="B21:C21"/>
    <mergeCell ref="B22:C22"/>
  </mergeCells>
  <dataValidations count="1">
    <dataValidation type="list" allowBlank="1" showInputMessage="1" showErrorMessage="1" sqref="C32" xr:uid="{6191FBBB-8C5C-4A3C-9FFC-201B4D73420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52E7-BBD6-4E37-9D68-6609C9E27E4B}">
  <dimension ref="A1:D19"/>
  <sheetViews>
    <sheetView workbookViewId="0">
      <selection activeCell="J25" sqref="J25"/>
    </sheetView>
  </sheetViews>
  <sheetFormatPr defaultRowHeight="15" x14ac:dyDescent="0.25"/>
  <cols>
    <col min="1" max="1" width="28.42578125" bestFit="1" customWidth="1"/>
    <col min="2" max="2" width="12.140625" bestFit="1" customWidth="1"/>
    <col min="3" max="3" width="16.140625" bestFit="1" customWidth="1"/>
  </cols>
  <sheetData>
    <row r="1" spans="1:4" x14ac:dyDescent="0.25">
      <c r="A1" t="s">
        <v>34</v>
      </c>
      <c r="B1" t="s">
        <v>18</v>
      </c>
      <c r="C1" t="s">
        <v>32</v>
      </c>
      <c r="D1" t="s">
        <v>33</v>
      </c>
    </row>
    <row r="2" spans="1:4" x14ac:dyDescent="0.25">
      <c r="A2" t="str">
        <f>B2&amp;"-"&amp;C2</f>
        <v>Conservador-Papel</v>
      </c>
      <c r="B2" t="s">
        <v>20</v>
      </c>
      <c r="C2" t="s">
        <v>26</v>
      </c>
      <c r="D2" s="5">
        <v>0.3</v>
      </c>
    </row>
    <row r="3" spans="1:4" x14ac:dyDescent="0.25">
      <c r="A3" t="str">
        <f t="shared" ref="A3:A19" si="0">B3&amp;"-"&amp;C3</f>
        <v>Conservador-Tijolo</v>
      </c>
      <c r="B3" t="s">
        <v>20</v>
      </c>
      <c r="C3" t="s">
        <v>27</v>
      </c>
      <c r="D3" s="5">
        <v>0.5</v>
      </c>
    </row>
    <row r="4" spans="1:4" x14ac:dyDescent="0.25">
      <c r="A4" t="str">
        <f t="shared" si="0"/>
        <v>Conservador-Hibridos</v>
      </c>
      <c r="B4" t="s">
        <v>20</v>
      </c>
      <c r="C4" t="s">
        <v>28</v>
      </c>
      <c r="D4" s="5">
        <v>0.1</v>
      </c>
    </row>
    <row r="5" spans="1:4" x14ac:dyDescent="0.25">
      <c r="A5" t="str">
        <f t="shared" si="0"/>
        <v>Conservador-FOFs</v>
      </c>
      <c r="B5" t="s">
        <v>20</v>
      </c>
      <c r="C5" t="s">
        <v>29</v>
      </c>
      <c r="D5" s="5">
        <v>0.1</v>
      </c>
    </row>
    <row r="6" spans="1:4" x14ac:dyDescent="0.25">
      <c r="A6" t="str">
        <f t="shared" si="0"/>
        <v>Conservador-Desenvolvimento</v>
      </c>
      <c r="B6" t="s">
        <v>20</v>
      </c>
      <c r="C6" t="s">
        <v>30</v>
      </c>
      <c r="D6" s="5">
        <v>0</v>
      </c>
    </row>
    <row r="7" spans="1:4" x14ac:dyDescent="0.25">
      <c r="A7" t="str">
        <f t="shared" si="0"/>
        <v>Conservador-Hotelarias</v>
      </c>
      <c r="B7" t="s">
        <v>20</v>
      </c>
      <c r="C7" t="s">
        <v>31</v>
      </c>
      <c r="D7" s="5">
        <v>0</v>
      </c>
    </row>
    <row r="8" spans="1:4" x14ac:dyDescent="0.25">
      <c r="A8" t="str">
        <f t="shared" si="0"/>
        <v>Moderado-Papel</v>
      </c>
      <c r="B8" t="s">
        <v>21</v>
      </c>
      <c r="C8" t="s">
        <v>26</v>
      </c>
      <c r="D8" s="5">
        <v>0.32</v>
      </c>
    </row>
    <row r="9" spans="1:4" x14ac:dyDescent="0.25">
      <c r="A9" t="str">
        <f t="shared" si="0"/>
        <v>Moderado-Tijolo</v>
      </c>
      <c r="B9" t="s">
        <v>21</v>
      </c>
      <c r="C9" t="s">
        <v>27</v>
      </c>
      <c r="D9" s="5">
        <v>0.4</v>
      </c>
    </row>
    <row r="10" spans="1:4" x14ac:dyDescent="0.25">
      <c r="A10" t="str">
        <f t="shared" si="0"/>
        <v>Moderado-Hibridos</v>
      </c>
      <c r="B10" t="s">
        <v>21</v>
      </c>
      <c r="C10" t="s">
        <v>28</v>
      </c>
      <c r="D10" s="5">
        <v>0.08</v>
      </c>
    </row>
    <row r="11" spans="1:4" x14ac:dyDescent="0.25">
      <c r="A11" t="str">
        <f t="shared" si="0"/>
        <v>Moderado-FOFs</v>
      </c>
      <c r="B11" t="s">
        <v>21</v>
      </c>
      <c r="C11" t="s">
        <v>29</v>
      </c>
      <c r="D11" s="5">
        <v>0.1</v>
      </c>
    </row>
    <row r="12" spans="1:4" x14ac:dyDescent="0.25">
      <c r="A12" t="str">
        <f t="shared" si="0"/>
        <v>Moderado-Desenvolvimento</v>
      </c>
      <c r="B12" t="s">
        <v>21</v>
      </c>
      <c r="C12" t="s">
        <v>30</v>
      </c>
      <c r="D12" s="5">
        <v>0.05</v>
      </c>
    </row>
    <row r="13" spans="1:4" x14ac:dyDescent="0.25">
      <c r="A13" t="str">
        <f t="shared" si="0"/>
        <v>Moderado-Hotelarias</v>
      </c>
      <c r="B13" t="s">
        <v>21</v>
      </c>
      <c r="C13" t="s">
        <v>31</v>
      </c>
      <c r="D13" s="5">
        <v>0.05</v>
      </c>
    </row>
    <row r="14" spans="1:4" x14ac:dyDescent="0.25">
      <c r="A14" t="str">
        <f t="shared" si="0"/>
        <v>Agressivo-Papel</v>
      </c>
      <c r="B14" t="s">
        <v>19</v>
      </c>
      <c r="C14" t="s">
        <v>26</v>
      </c>
      <c r="D14" s="5">
        <v>0.5</v>
      </c>
    </row>
    <row r="15" spans="1:4" x14ac:dyDescent="0.25">
      <c r="A15" t="str">
        <f t="shared" si="0"/>
        <v>Agressivo-Tijolo</v>
      </c>
      <c r="B15" t="s">
        <v>19</v>
      </c>
      <c r="C15" t="s">
        <v>27</v>
      </c>
      <c r="D15" s="5">
        <v>0.1</v>
      </c>
    </row>
    <row r="16" spans="1:4" x14ac:dyDescent="0.25">
      <c r="A16" t="str">
        <f t="shared" si="0"/>
        <v>Agressivo-Hibridos</v>
      </c>
      <c r="B16" t="s">
        <v>19</v>
      </c>
      <c r="C16" t="s">
        <v>28</v>
      </c>
      <c r="D16" s="5">
        <v>0.05</v>
      </c>
    </row>
    <row r="17" spans="1:4" x14ac:dyDescent="0.25">
      <c r="A17" t="str">
        <f t="shared" si="0"/>
        <v>Agressivo-FOFs</v>
      </c>
      <c r="B17" t="s">
        <v>19</v>
      </c>
      <c r="C17" t="s">
        <v>29</v>
      </c>
      <c r="D17" s="5">
        <v>0.05</v>
      </c>
    </row>
    <row r="18" spans="1:4" x14ac:dyDescent="0.25">
      <c r="A18" t="str">
        <f t="shared" si="0"/>
        <v>Agressivo-Desenvolvimento</v>
      </c>
      <c r="B18" t="s">
        <v>19</v>
      </c>
      <c r="C18" t="s">
        <v>30</v>
      </c>
      <c r="D18" s="5">
        <v>0.2</v>
      </c>
    </row>
    <row r="19" spans="1:4" x14ac:dyDescent="0.25">
      <c r="A19" t="str">
        <f t="shared" si="0"/>
        <v>Agressivo-Hotelarias</v>
      </c>
      <c r="B19" t="s">
        <v>19</v>
      </c>
      <c r="C19" t="s">
        <v>31</v>
      </c>
      <c r="D19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Patrimonio_Total</vt:lpstr>
      <vt:lpstr>QTDE_Anos</vt:lpstr>
      <vt:lpstr>Rendimento_Carteira</vt:lpstr>
      <vt:lpstr>Salario</vt:lpstr>
      <vt:lpstr>Sugestao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Damasio dos Santos (CGSO/SPO/MEC)</dc:creator>
  <cp:lastModifiedBy>Julio Cesar Damasio dos Santos (CGSO/SPO/MEC)</cp:lastModifiedBy>
  <dcterms:created xsi:type="dcterms:W3CDTF">2026-01-27T12:58:45Z</dcterms:created>
  <dcterms:modified xsi:type="dcterms:W3CDTF">2026-01-28T15:55:02Z</dcterms:modified>
</cp:coreProperties>
</file>